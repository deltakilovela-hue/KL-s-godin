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<sst xmlns="http://schemas.openxmlformats.org/spreadsheetml/2006/main" count="94" uniqueCount="62">
  <si>
    <t xml:space="preserve">ID</t>
  </si>
  <si>
    <t xml:space="preserve">Nombre</t>
  </si>
  <si>
    <t xml:space="preserve">Departamento/Área</t>
  </si>
  <si>
    <t xml:space="preserve">Fecha</t>
  </si>
  <si>
    <t xml:space="preserve">Hora Entrada</t>
  </si>
  <si>
    <t xml:space="preserve">Hora Salida</t>
  </si>
  <si>
    <t xml:space="preserve">¿Festivo?</t>
  </si>
  <si>
    <t xml:space="preserve">¿Falta?</t>
  </si>
  <si>
    <t xml:space="preserve">Fecha Falta</t>
  </si>
  <si>
    <t xml:space="preserve">Notas</t>
  </si>
  <si>
    <t xml:space="preserve">ARCINIEGA DE LA HUERTA</t>
  </si>
  <si>
    <t xml:space="preserve">ENFERMERÍA</t>
  </si>
  <si>
    <t xml:space="preserve">16/03/2026</t>
  </si>
  <si>
    <t xml:space="preserve">6:52</t>
  </si>
  <si>
    <t xml:space="preserve">15:00</t>
  </si>
  <si>
    <t xml:space="preserve">No</t>
  </si>
  <si>
    <t xml:space="preserve">LUIS GARCÍA CHACÓN</t>
  </si>
  <si>
    <t xml:space="preserve">6:59</t>
  </si>
  <si>
    <t xml:space="preserve">DOMINGUEZ</t>
  </si>
  <si>
    <t xml:space="preserve">17/03/2026</t>
  </si>
  <si>
    <t xml:space="preserve">6:45</t>
  </si>
  <si>
    <t xml:space="preserve">14:50</t>
  </si>
  <si>
    <t xml:space="preserve">GONZALO</t>
  </si>
  <si>
    <t xml:space="preserve">ABOGADO</t>
  </si>
  <si>
    <t xml:space="preserve">18/03/2026</t>
  </si>
  <si>
    <t xml:space="preserve">7:15</t>
  </si>
  <si>
    <t xml:space="preserve">15:30</t>
  </si>
  <si>
    <t xml:space="preserve">ASUNCIÓN COVARRUBIAS</t>
  </si>
  <si>
    <t xml:space="preserve">19/03/2026</t>
  </si>
  <si>
    <t xml:space="preserve">6:40</t>
  </si>
  <si>
    <t xml:space="preserve">Sí</t>
  </si>
  <si>
    <t xml:space="preserve">21/03/2026</t>
  </si>
  <si>
    <t xml:space="preserve">Falta injustificada</t>
  </si>
  <si>
    <t xml:space="preserve">HERNÁNDEZ GÓMEZ</t>
  </si>
  <si>
    <t xml:space="preserve">20/03/2026</t>
  </si>
  <si>
    <t xml:space="preserve">7:00</t>
  </si>
  <si>
    <t xml:space="preserve">15:15</t>
  </si>
  <si>
    <t xml:space="preserve">HERÁNDEZ GÓMEZ</t>
  </si>
  <si>
    <t xml:space="preserve">23/03/2026</t>
  </si>
  <si>
    <t xml:space="preserve">6:55</t>
  </si>
  <si>
    <t xml:space="preserve">Domingo</t>
  </si>
  <si>
    <t xml:space="preserve">COLMACHO</t>
  </si>
  <si>
    <t xml:space="preserve">ADMINISTRACIÓN</t>
  </si>
  <si>
    <t xml:space="preserve">24/03/2026</t>
  </si>
  <si>
    <t xml:space="preserve">8:00</t>
  </si>
  <si>
    <t xml:space="preserve">16:00</t>
  </si>
  <si>
    <t xml:space="preserve">SALAS</t>
  </si>
  <si>
    <t xml:space="preserve">SEGURIDAD</t>
  </si>
  <si>
    <t xml:space="preserve">25/03/2026</t>
  </si>
  <si>
    <t xml:space="preserve">6:30</t>
  </si>
  <si>
    <t xml:space="preserve">14:30</t>
  </si>
  <si>
    <t xml:space="preserve">Mª ALGUACIL GUZMÁN</t>
  </si>
  <si>
    <t xml:space="preserve">26/03/2026</t>
  </si>
  <si>
    <t xml:space="preserve">6:50</t>
  </si>
  <si>
    <t xml:space="preserve">15:05</t>
  </si>
  <si>
    <t xml:space="preserve">RESUMEN DE ASISTENCIA</t>
  </si>
  <si>
    <t xml:space="preserve">Total de registros:</t>
  </si>
  <si>
    <t xml:space="preserve">Total de faltas:</t>
  </si>
  <si>
    <t xml:space="preserve">Días festivos registrados:</t>
  </si>
  <si>
    <t xml:space="preserve">Registros por Departamento:</t>
  </si>
  <si>
    <t xml:space="preserve">Departamento</t>
  </si>
  <si>
    <t xml:space="preserve">Cantidad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</si>
</sst>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color rgb="FF366092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/>
      <c r="J2" s="2"/>
    </row>
    <row r="3" customFormat="false" ht="15" hidden="false" customHeight="false" outlineLevel="0" collapsed="false">
      <c r="A3" s="2" t="n">
        <v>2</v>
      </c>
      <c r="B3" s="2" t="s">
        <v>16</v>
      </c>
      <c r="C3" s="2" t="s">
        <v>11</v>
      </c>
      <c r="D3" s="2" t="s">
        <v>12</v>
      </c>
      <c r="E3" s="2" t="s">
        <v>17</v>
      </c>
      <c r="F3" s="2" t="s">
        <v>14</v>
      </c>
      <c r="G3" s="2" t="s">
        <v>15</v>
      </c>
      <c r="H3" s="2" t="s">
        <v>15</v>
      </c>
      <c r="I3" s="2"/>
      <c r="J3" s="2"/>
    </row>
    <row r="4" customFormat="false" ht="15" hidden="false" customHeight="false" outlineLevel="0" collapsed="false">
      <c r="A4" s="2" t="n">
        <v>3</v>
      </c>
      <c r="B4" s="2" t="s">
        <v>18</v>
      </c>
      <c r="C4" s="2" t="s">
        <v>11</v>
      </c>
      <c r="D4" s="2" t="s">
        <v>19</v>
      </c>
      <c r="E4" s="2" t="s">
        <v>20</v>
      </c>
      <c r="F4" s="2" t="s">
        <v>21</v>
      </c>
      <c r="G4" s="2" t="s">
        <v>15</v>
      </c>
      <c r="H4" s="2" t="s">
        <v>15</v>
      </c>
      <c r="I4" s="2"/>
      <c r="J4" s="2"/>
    </row>
    <row r="5" customFormat="false" ht="15" hidden="false" customHeight="false" outlineLevel="0" collapsed="false">
      <c r="A5" s="2" t="n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15</v>
      </c>
      <c r="H5" s="2" t="s">
        <v>15</v>
      </c>
      <c r="I5" s="2"/>
      <c r="J5" s="2"/>
    </row>
    <row r="6" customFormat="false" ht="15" hidden="false" customHeight="false" outlineLevel="0" collapsed="false">
      <c r="A6" s="2" t="n">
        <v>5</v>
      </c>
      <c r="B6" s="2" t="s">
        <v>27</v>
      </c>
      <c r="C6" s="2" t="s">
        <v>11</v>
      </c>
      <c r="D6" s="2" t="s">
        <v>28</v>
      </c>
      <c r="E6" s="2" t="s">
        <v>29</v>
      </c>
      <c r="F6" s="2" t="s">
        <v>14</v>
      </c>
      <c r="G6" s="2" t="s">
        <v>15</v>
      </c>
      <c r="H6" s="2" t="s">
        <v>30</v>
      </c>
      <c r="I6" s="2" t="s">
        <v>31</v>
      </c>
      <c r="J6" s="2" t="s">
        <v>32</v>
      </c>
    </row>
    <row r="7" customFormat="false" ht="15" hidden="false" customHeight="false" outlineLevel="0" collapsed="false">
      <c r="A7" s="2" t="n">
        <v>6</v>
      </c>
      <c r="B7" s="2" t="s">
        <v>33</v>
      </c>
      <c r="C7" s="2" t="s">
        <v>11</v>
      </c>
      <c r="D7" s="2" t="s">
        <v>34</v>
      </c>
      <c r="E7" s="2" t="s">
        <v>35</v>
      </c>
      <c r="F7" s="2" t="s">
        <v>36</v>
      </c>
      <c r="G7" s="2" t="s">
        <v>15</v>
      </c>
      <c r="H7" s="2" t="s">
        <v>15</v>
      </c>
      <c r="I7" s="2"/>
      <c r="J7" s="2"/>
    </row>
    <row r="8" customFormat="false" ht="15" hidden="false" customHeight="false" outlineLevel="0" collapsed="false">
      <c r="A8" s="2" t="n">
        <v>7</v>
      </c>
      <c r="B8" s="2" t="s">
        <v>37</v>
      </c>
      <c r="C8" s="2" t="s">
        <v>11</v>
      </c>
      <c r="D8" s="2" t="s">
        <v>38</v>
      </c>
      <c r="E8" s="2" t="s">
        <v>39</v>
      </c>
      <c r="F8" s="2" t="s">
        <v>14</v>
      </c>
      <c r="G8" s="2" t="s">
        <v>30</v>
      </c>
      <c r="H8" s="2" t="s">
        <v>15</v>
      </c>
      <c r="I8" s="2"/>
      <c r="J8" s="2" t="s">
        <v>40</v>
      </c>
    </row>
    <row r="9" customFormat="false" ht="15" hidden="false" customHeight="false" outlineLevel="0" collapsed="false">
      <c r="A9" s="2" t="n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15</v>
      </c>
      <c r="H9" s="2" t="s">
        <v>15</v>
      </c>
      <c r="I9" s="2"/>
      <c r="J9" s="2"/>
    </row>
    <row r="10" customFormat="false" ht="15" hidden="false" customHeight="false" outlineLevel="0" collapsed="false">
      <c r="A10" s="2" t="n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15</v>
      </c>
      <c r="H10" s="2" t="s">
        <v>15</v>
      </c>
      <c r="I10" s="2"/>
      <c r="J10" s="2"/>
    </row>
    <row r="11" customFormat="false" ht="15" hidden="false" customHeight="false" outlineLevel="0" collapsed="false">
      <c r="A11" s="2" t="n">
        <v>10</v>
      </c>
      <c r="B11" s="2" t="s">
        <v>51</v>
      </c>
      <c r="C11" s="2" t="s">
        <v>11</v>
      </c>
      <c r="D11" s="2" t="s">
        <v>52</v>
      </c>
      <c r="E11" s="2" t="s">
        <v>53</v>
      </c>
      <c r="F11" s="2" t="s">
        <v>54</v>
      </c>
      <c r="G11" s="2" t="s">
        <v>15</v>
      </c>
      <c r="H11" s="2" t="s">
        <v>15</v>
      </c>
      <c r="I11" s="2"/>
      <c r="J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3" t="s">
        <v>55</v>
      </c>
    </row>
    <row r="3" customFormat="false" ht="15" hidden="false" customHeight="false" outlineLevel="0" collapsed="false">
      <c r="A3" s="0" t="s">
        <v>56</v>
      </c>
      <c r="B3" s="0" t="n">
        <f aca="false">COUNTA(Asistencia!B2:B11)</f>
        <v>10</v>
      </c>
    </row>
    <row r="4" customFormat="false" ht="15" hidden="false" customHeight="false" outlineLevel="0" collapsed="false">
      <c r="A4" s="0" t="s">
        <v>57</v>
      </c>
      <c r="B4" s="0" t="n">
        <f aca="false">COUNTIF(Asistencia!H2:H11,"Sí")</f>
        <v>1</v>
      </c>
    </row>
    <row r="5" customFormat="false" ht="15" hidden="false" customHeight="false" outlineLevel="0" collapsed="false">
      <c r="A5" s="0" t="s">
        <v>58</v>
      </c>
      <c r="B5" s="0" t="n">
        <f aca="false">COUNTIF(Asistencia!G2:G11,"Sí")</f>
        <v>1</v>
      </c>
    </row>
    <row r="7" customFormat="false" ht="15" hidden="false" customHeight="false" outlineLevel="0" collapsed="false">
      <c r="A7" s="0" t="s">
        <v>59</v>
      </c>
    </row>
    <row r="8" customFormat="false" ht="15" hidden="false" customHeight="false" outlineLevel="0" collapsed="false">
      <c r="A8" s="4" t="s">
        <v>60</v>
      </c>
      <c r="B8" s="4" t="s">
        <v>61</v>
      </c>
    </row>
    <row r="9" customFormat="false" ht="15" hidden="false" customHeight="false" outlineLevel="0" collapsed="false">
      <c r="A9" s="5" t="s">
        <v>11</v>
      </c>
      <c r="B9" s="5" t="n">
        <f aca="false">COUNTIF(Asistencia!C2:C11,A9)</f>
        <v>7</v>
      </c>
    </row>
    <row r="10" customFormat="false" ht="15" hidden="false" customHeight="false" outlineLevel="0" collapsed="false">
      <c r="A10" s="5" t="s">
        <v>23</v>
      </c>
      <c r="B10" s="5" t="n">
        <f aca="false">COUNTIF(Asistencia!C2:C11,A10)</f>
        <v>1</v>
      </c>
    </row>
    <row r="11" customFormat="false" ht="15" hidden="false" customHeight="false" outlineLevel="0" collapsed="false">
      <c r="A11" s="5" t="s">
        <v>42</v>
      </c>
      <c r="B11" s="5" t="n">
        <f aca="false">COUNTIF(Asistencia!C2:C11,A11)</f>
        <v>1</v>
      </c>
    </row>
    <row r="12" customFormat="false" ht="15" hidden="false" customHeight="false" outlineLevel="0" collapsed="false">
      <c r="A12" s="5" t="s">
        <v>47</v>
      </c>
      <c r="B12" s="5" t="n">
        <f aca="false">COUNTIF(Asistencia!C2:C11,A12)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2026-04-07T20:09:46Z</dcterms:created>
  <dc:creator>openpyxl</dc:creator>
  <dc:description/>
  <dc:language>en-US</dc:language>
  <cp:lastModifiedBy/>
  <dcterms:modified xsi:type="dcterms:W3CDTF">2026-04-07T20:09:46Z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